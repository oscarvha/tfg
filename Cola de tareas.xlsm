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sb_000\Documents\GitHub\tfg\"/>
    </mc:Choice>
  </mc:AlternateContent>
  <bookViews>
    <workbookView xWindow="0" yWindow="0" windowWidth="21570" windowHeight="7440"/>
  </bookViews>
  <sheets>
    <sheet name="To Do List Double Click" sheetId="7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7" l="1"/>
  <c r="I10" i="7"/>
  <c r="I8" i="7"/>
  <c r="I11" i="7" l="1"/>
</calcChain>
</file>

<file path=xl/sharedStrings.xml><?xml version="1.0" encoding="utf-8"?>
<sst xmlns="http://schemas.openxmlformats.org/spreadsheetml/2006/main" count="41" uniqueCount="26">
  <si>
    <t>Completed</t>
  </si>
  <si>
    <t>ü</t>
  </si>
  <si>
    <t>% Completed</t>
  </si>
  <si>
    <t>High</t>
  </si>
  <si>
    <t>Medium</t>
  </si>
  <si>
    <t>Low</t>
  </si>
  <si>
    <t>Total Activities</t>
  </si>
  <si>
    <t>Total Score</t>
  </si>
  <si>
    <t>Completed Score</t>
  </si>
  <si>
    <t>Tarea</t>
  </si>
  <si>
    <t>Confirmado con el tutor</t>
  </si>
  <si>
    <t>Escala de importancia</t>
  </si>
  <si>
    <t>CE-Administrativo</t>
  </si>
  <si>
    <t>Prioridad</t>
  </si>
  <si>
    <t>Fecha de inicio</t>
  </si>
  <si>
    <t>Fecha de finalización</t>
  </si>
  <si>
    <t>Objetivos Generales</t>
  </si>
  <si>
    <t>Objetivos Especificos</t>
  </si>
  <si>
    <t>Metodologia del proyecto</t>
  </si>
  <si>
    <t>x</t>
  </si>
  <si>
    <t>Criterios de selección</t>
  </si>
  <si>
    <t>Imprescindible</t>
  </si>
  <si>
    <t>Alta</t>
  </si>
  <si>
    <t>Preselección del motor</t>
  </si>
  <si>
    <t>Documento de riesgos</t>
  </si>
  <si>
    <t>Estudio de los seleccionados: Click Team Fusion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</si>
</sst>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Wingdings"/>
      <charset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5"/>
      </patternFill>
    </fill>
  </fills>
  <borders count="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499984740745262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2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2" fillId="0" borderId="5" xfId="0" applyFont="1" applyBorder="1"/>
    <xf numFmtId="0" fontId="2" fillId="0" borderId="1" xfId="0" applyNumberFormat="1" applyFont="1" applyBorder="1" applyAlignment="1">
      <alignment horizontal="center"/>
    </xf>
    <xf numFmtId="0" fontId="2" fillId="0" borderId="1" xfId="0" applyFont="1" applyFill="1" applyBorder="1"/>
    <xf numFmtId="164" fontId="0" fillId="0" borderId="1" xfId="0" applyNumberFormat="1" applyBorder="1"/>
    <xf numFmtId="0" fontId="2" fillId="0" borderId="6" xfId="0" applyFont="1" applyBorder="1" applyAlignment="1">
      <alignment horizontal="center" vertical="center"/>
    </xf>
    <xf numFmtId="14" fontId="2" fillId="0" borderId="6" xfId="0" applyNumberFormat="1" applyFont="1" applyBorder="1" applyAlignment="1">
      <alignment horizontal="center" vertical="center"/>
    </xf>
    <xf numFmtId="0" fontId="2" fillId="0" borderId="6" xfId="0" applyFont="1" applyBorder="1"/>
    <xf numFmtId="0" fontId="2" fillId="0" borderId="7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/>
    <xf numFmtId="0" fontId="3" fillId="0" borderId="7" xfId="0" applyNumberFormat="1" applyFont="1" applyBorder="1" applyAlignment="1">
      <alignment horizontal="center"/>
    </xf>
    <xf numFmtId="0" fontId="3" fillId="0" borderId="6" xfId="0" applyNumberFormat="1" applyFont="1" applyBorder="1" applyAlignment="1">
      <alignment horizontal="center"/>
    </xf>
    <xf numFmtId="0" fontId="1" fillId="3" borderId="8" xfId="1" applyBorder="1" applyAlignment="1">
      <alignment horizontal="center" vertical="center" wrapText="1"/>
    </xf>
  </cellXfs>
  <cellStyles count="2">
    <cellStyle name="40% - Énfasis2" xfId="1" builtinId="35"/>
    <cellStyle name="Normal" xfId="0" builtinId="0"/>
  </cellStyles>
  <dxfs count="2">
    <dxf>
      <fill>
        <patternFill>
          <bgColor theme="9" tint="0.59996337778862885"/>
        </patternFill>
      </fill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Ref>
              <c:f>'To Do List Double Click'!$I$11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overlap val="100"/>
        <c:axId val="1609993568"/>
        <c:axId val="1609994656"/>
      </c:barChart>
      <c:catAx>
        <c:axId val="1609993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09994656"/>
        <c:crosses val="autoZero"/>
        <c:auto val="1"/>
        <c:lblAlgn val="ctr"/>
        <c:lblOffset val="100"/>
        <c:noMultiLvlLbl val="0"/>
      </c:catAx>
      <c:valAx>
        <c:axId val="1609994656"/>
        <c:scaling>
          <c:orientation val="minMax"/>
          <c:max val="1"/>
          <c:min val="0"/>
        </c:scaling>
        <c:delete val="1"/>
        <c:axPos val="b"/>
        <c:numFmt formatCode="0.0%" sourceLinked="1"/>
        <c:majorTickMark val="out"/>
        <c:minorTickMark val="none"/>
        <c:tickLblPos val="nextTo"/>
        <c:crossAx val="16099935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304800</xdr:rowOff>
    </xdr:from>
    <xdr:to>
      <xdr:col>2</xdr:col>
      <xdr:colOff>1428750</xdr:colOff>
      <xdr:row>2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8"/>
  <sheetViews>
    <sheetView showGridLines="0" tabSelected="1" zoomScaleNormal="100" workbookViewId="0">
      <selection activeCell="D11" sqref="D11"/>
    </sheetView>
  </sheetViews>
  <sheetFormatPr baseColWidth="10" defaultColWidth="9" defaultRowHeight="12.75" x14ac:dyDescent="0.2"/>
  <cols>
    <col min="1" max="1" width="25.25" customWidth="1"/>
    <col min="2" max="2" width="23.375" customWidth="1"/>
    <col min="3" max="3" width="24.375" customWidth="1"/>
    <col min="4" max="4" width="25.75" customWidth="1"/>
    <col min="5" max="5" width="41.625" customWidth="1"/>
    <col min="6" max="6" width="12.375" customWidth="1"/>
    <col min="7" max="7" width="4.375" hidden="1" customWidth="1"/>
    <col min="8" max="8" width="16.625" hidden="1" customWidth="1"/>
    <col min="9" max="9" width="10.625" hidden="1" customWidth="1"/>
    <col min="10" max="10" width="26.5" customWidth="1"/>
    <col min="11" max="11" width="9" customWidth="1"/>
  </cols>
  <sheetData>
    <row r="1" spans="1:10" ht="28.5" customHeight="1" x14ac:dyDescent="0.2">
      <c r="A1" s="4"/>
      <c r="B1" s="5"/>
      <c r="C1" s="5"/>
      <c r="D1" s="5"/>
      <c r="E1" s="5"/>
      <c r="F1" s="6"/>
    </row>
    <row r="2" spans="1:10" ht="5.25" customHeight="1" x14ac:dyDescent="0.2"/>
    <row r="3" spans="1:10" ht="47.25" customHeight="1" thickBot="1" x14ac:dyDescent="0.25">
      <c r="A3" s="19" t="s">
        <v>11</v>
      </c>
      <c r="B3" s="19" t="s">
        <v>13</v>
      </c>
      <c r="C3" s="19" t="s">
        <v>14</v>
      </c>
      <c r="D3" s="19" t="s">
        <v>15</v>
      </c>
      <c r="E3" s="19" t="s">
        <v>9</v>
      </c>
      <c r="F3" s="19" t="s">
        <v>0</v>
      </c>
      <c r="G3" s="19" t="s">
        <v>0</v>
      </c>
      <c r="H3" s="19" t="s">
        <v>0</v>
      </c>
      <c r="I3" s="19" t="s">
        <v>0</v>
      </c>
      <c r="J3" s="19" t="s">
        <v>10</v>
      </c>
    </row>
    <row r="4" spans="1:10" ht="12.75" customHeight="1" thickTop="1" x14ac:dyDescent="0.2">
      <c r="A4" s="14" t="s">
        <v>12</v>
      </c>
      <c r="B4" s="14"/>
      <c r="C4" s="15">
        <v>42620</v>
      </c>
      <c r="D4" s="15">
        <v>42628</v>
      </c>
      <c r="E4" s="16" t="s">
        <v>16</v>
      </c>
      <c r="F4" s="17" t="s">
        <v>19</v>
      </c>
      <c r="H4" s="3" t="s">
        <v>1</v>
      </c>
      <c r="I4" s="7" t="s">
        <v>3</v>
      </c>
      <c r="J4" s="8"/>
    </row>
    <row r="5" spans="1:10" ht="12.75" customHeight="1" x14ac:dyDescent="0.2">
      <c r="A5" s="14" t="s">
        <v>12</v>
      </c>
      <c r="B5" s="11"/>
      <c r="C5" s="15">
        <v>42628</v>
      </c>
      <c r="D5" s="12">
        <v>42629</v>
      </c>
      <c r="E5" s="13" t="s">
        <v>17</v>
      </c>
      <c r="F5" s="18" t="s">
        <v>19</v>
      </c>
      <c r="H5" s="2"/>
      <c r="I5" s="7" t="s">
        <v>4</v>
      </c>
      <c r="J5" s="8"/>
    </row>
    <row r="6" spans="1:10" ht="12.75" customHeight="1" x14ac:dyDescent="0.2">
      <c r="A6" s="14" t="s">
        <v>12</v>
      </c>
      <c r="B6" s="11"/>
      <c r="C6" s="12">
        <v>42631</v>
      </c>
      <c r="D6" s="12">
        <v>42643</v>
      </c>
      <c r="E6" s="13" t="s">
        <v>18</v>
      </c>
      <c r="F6" s="18" t="s">
        <v>19</v>
      </c>
      <c r="H6" s="2"/>
      <c r="I6" s="7" t="s">
        <v>5</v>
      </c>
      <c r="J6" s="8"/>
    </row>
    <row r="7" spans="1:10" ht="12.75" customHeight="1" x14ac:dyDescent="0.2">
      <c r="A7" s="11" t="s">
        <v>21</v>
      </c>
      <c r="B7" s="11" t="s">
        <v>22</v>
      </c>
      <c r="C7" s="12">
        <v>42643</v>
      </c>
      <c r="D7" s="12">
        <v>42653</v>
      </c>
      <c r="E7" s="13" t="s">
        <v>20</v>
      </c>
      <c r="F7" s="18" t="s">
        <v>19</v>
      </c>
      <c r="J7" s="8"/>
    </row>
    <row r="8" spans="1:10" ht="12.75" customHeight="1" x14ac:dyDescent="0.2">
      <c r="A8" s="11" t="s">
        <v>21</v>
      </c>
      <c r="B8" s="11" t="s">
        <v>22</v>
      </c>
      <c r="C8" s="12">
        <v>42653</v>
      </c>
      <c r="D8" s="12">
        <v>42676</v>
      </c>
      <c r="E8" s="13" t="s">
        <v>23</v>
      </c>
      <c r="F8" s="18" t="s">
        <v>19</v>
      </c>
      <c r="H8" s="9" t="s">
        <v>6</v>
      </c>
      <c r="I8" s="1">
        <f>COUNTIF($E$4:$E$28,"&lt;&gt;")</f>
        <v>7</v>
      </c>
      <c r="J8" s="8"/>
    </row>
    <row r="9" spans="1:10" ht="12.75" customHeight="1" x14ac:dyDescent="0.2">
      <c r="A9" s="11" t="s">
        <v>12</v>
      </c>
      <c r="B9" s="11"/>
      <c r="C9" s="12">
        <v>42676</v>
      </c>
      <c r="D9" s="12">
        <v>42678</v>
      </c>
      <c r="E9" s="13" t="s">
        <v>24</v>
      </c>
      <c r="F9" s="18" t="s">
        <v>19</v>
      </c>
      <c r="H9" s="9" t="s">
        <v>8</v>
      </c>
      <c r="I9" s="1" t="e">
        <f>COUNTIFS(#REF!,$I$4,$F$4:$F$28,$H$4)*$J$4+COUNTIFS(#REF!,$I$5,$F$4:$F$28,$H$4)*$J$5+COUNTIFS(#REF!,$I$6,$F$4:$F$28,$H$4)*$J$6</f>
        <v>#REF!</v>
      </c>
      <c r="J9" s="8"/>
    </row>
    <row r="10" spans="1:10" ht="12.75" customHeight="1" x14ac:dyDescent="0.2">
      <c r="A10" s="11" t="s">
        <v>21</v>
      </c>
      <c r="B10" s="11" t="s">
        <v>22</v>
      </c>
      <c r="C10" s="12">
        <v>42678</v>
      </c>
      <c r="D10" s="12">
        <v>42678</v>
      </c>
      <c r="E10" s="13" t="s">
        <v>25</v>
      </c>
      <c r="F10" s="18"/>
      <c r="H10" s="9" t="s">
        <v>7</v>
      </c>
      <c r="I10" s="1" t="e">
        <f>COUNTIF(#REF!,$I$4)*$J$4+COUNTIF(#REF!,$I$5)*$J$5+COUNTIF(#REF!,$I$6)*$J$6</f>
        <v>#REF!</v>
      </c>
      <c r="J10" s="8"/>
    </row>
    <row r="11" spans="1:10" ht="12.75" customHeight="1" x14ac:dyDescent="0.2">
      <c r="A11" s="11">
        <v>8</v>
      </c>
      <c r="B11" s="11"/>
      <c r="C11" s="11"/>
      <c r="D11" s="12"/>
      <c r="E11" s="13"/>
      <c r="F11" s="18"/>
      <c r="H11" s="9" t="s">
        <v>2</v>
      </c>
      <c r="I11" s="10">
        <f>IFERROR(I9/I10,0)</f>
        <v>0</v>
      </c>
      <c r="J11" s="8"/>
    </row>
    <row r="12" spans="1:10" ht="12.75" customHeight="1" x14ac:dyDescent="0.2">
      <c r="A12" s="11">
        <v>9</v>
      </c>
      <c r="B12" s="11"/>
      <c r="C12" s="11"/>
      <c r="D12" s="12"/>
      <c r="E12" s="13"/>
      <c r="F12" s="18"/>
      <c r="J12" s="8"/>
    </row>
    <row r="13" spans="1:10" ht="12.75" customHeight="1" x14ac:dyDescent="0.2">
      <c r="A13" s="11">
        <v>10</v>
      </c>
      <c r="B13" s="11"/>
      <c r="C13" s="11"/>
      <c r="D13" s="12"/>
      <c r="E13" s="13"/>
      <c r="F13" s="18"/>
      <c r="J13" s="8"/>
    </row>
    <row r="14" spans="1:10" ht="12.75" customHeight="1" x14ac:dyDescent="0.2">
      <c r="A14" s="11">
        <v>11</v>
      </c>
      <c r="B14" s="11"/>
      <c r="C14" s="11"/>
      <c r="D14" s="12"/>
      <c r="E14" s="13"/>
      <c r="F14" s="18"/>
      <c r="J14" s="8"/>
    </row>
    <row r="15" spans="1:10" ht="12.75" customHeight="1" x14ac:dyDescent="0.2">
      <c r="A15" s="11">
        <v>12</v>
      </c>
      <c r="B15" s="11"/>
      <c r="C15" s="11"/>
      <c r="D15" s="12"/>
      <c r="E15" s="13"/>
      <c r="F15" s="18"/>
      <c r="J15" s="8"/>
    </row>
    <row r="16" spans="1:10" ht="12.75" customHeight="1" x14ac:dyDescent="0.2">
      <c r="A16" s="11">
        <v>13</v>
      </c>
      <c r="B16" s="11"/>
      <c r="C16" s="11"/>
      <c r="D16" s="12"/>
      <c r="E16" s="13"/>
      <c r="F16" s="18"/>
      <c r="J16" s="8"/>
    </row>
    <row r="17" spans="1:10" ht="12.75" customHeight="1" x14ac:dyDescent="0.2">
      <c r="A17" s="11">
        <v>14</v>
      </c>
      <c r="B17" s="11"/>
      <c r="C17" s="11"/>
      <c r="D17" s="12"/>
      <c r="E17" s="13"/>
      <c r="F17" s="18"/>
      <c r="J17" s="8"/>
    </row>
    <row r="18" spans="1:10" ht="12.75" customHeight="1" x14ac:dyDescent="0.2">
      <c r="A18" s="11">
        <v>15</v>
      </c>
      <c r="B18" s="11"/>
      <c r="C18" s="11"/>
      <c r="D18" s="12"/>
      <c r="E18" s="13"/>
      <c r="F18" s="18"/>
      <c r="J18" s="8"/>
    </row>
    <row r="19" spans="1:10" ht="12.75" customHeight="1" x14ac:dyDescent="0.2">
      <c r="A19" s="11">
        <v>16</v>
      </c>
      <c r="B19" s="11"/>
      <c r="C19" s="11"/>
      <c r="D19" s="12"/>
      <c r="E19" s="13"/>
      <c r="F19" s="18"/>
      <c r="J19" s="8"/>
    </row>
    <row r="20" spans="1:10" ht="12.75" customHeight="1" x14ac:dyDescent="0.2">
      <c r="A20" s="11">
        <v>17</v>
      </c>
      <c r="B20" s="11"/>
      <c r="C20" s="11"/>
      <c r="D20" s="12"/>
      <c r="E20" s="13"/>
      <c r="F20" s="18"/>
      <c r="J20" s="8"/>
    </row>
    <row r="21" spans="1:10" ht="12.75" customHeight="1" x14ac:dyDescent="0.2">
      <c r="A21" s="11">
        <v>18</v>
      </c>
      <c r="B21" s="11"/>
      <c r="C21" s="11"/>
      <c r="D21" s="12"/>
      <c r="E21" s="13"/>
      <c r="F21" s="18"/>
      <c r="J21" s="8"/>
    </row>
    <row r="22" spans="1:10" ht="12.75" customHeight="1" x14ac:dyDescent="0.2">
      <c r="A22" s="11">
        <v>19</v>
      </c>
      <c r="B22" s="11"/>
      <c r="C22" s="11"/>
      <c r="D22" s="12"/>
      <c r="E22" s="13"/>
      <c r="F22" s="18"/>
      <c r="J22" s="8"/>
    </row>
    <row r="23" spans="1:10" ht="12.75" customHeight="1" x14ac:dyDescent="0.2">
      <c r="A23" s="11">
        <v>20</v>
      </c>
      <c r="B23" s="11"/>
      <c r="C23" s="11"/>
      <c r="D23" s="12"/>
      <c r="E23" s="13"/>
      <c r="F23" s="18"/>
      <c r="J23" s="8"/>
    </row>
    <row r="24" spans="1:10" ht="12.75" customHeight="1" x14ac:dyDescent="0.2">
      <c r="A24" s="11">
        <v>21</v>
      </c>
      <c r="B24" s="11"/>
      <c r="C24" s="11"/>
      <c r="D24" s="12"/>
      <c r="E24" s="13"/>
      <c r="F24" s="18"/>
      <c r="J24" s="8"/>
    </row>
    <row r="25" spans="1:10" ht="12.75" customHeight="1" x14ac:dyDescent="0.2">
      <c r="A25" s="11">
        <v>22</v>
      </c>
      <c r="B25" s="11"/>
      <c r="C25" s="11"/>
      <c r="D25" s="12"/>
      <c r="E25" s="13"/>
      <c r="F25" s="18"/>
      <c r="J25" s="8"/>
    </row>
    <row r="26" spans="1:10" ht="12.75" customHeight="1" x14ac:dyDescent="0.2">
      <c r="A26" s="11">
        <v>23</v>
      </c>
      <c r="B26" s="11"/>
      <c r="C26" s="11"/>
      <c r="D26" s="12"/>
      <c r="E26" s="13"/>
      <c r="F26" s="18"/>
      <c r="J26" s="8"/>
    </row>
    <row r="27" spans="1:10" ht="12.75" customHeight="1" x14ac:dyDescent="0.2">
      <c r="A27" s="11">
        <v>24</v>
      </c>
      <c r="B27" s="11"/>
      <c r="C27" s="11"/>
      <c r="D27" s="12"/>
      <c r="E27" s="13"/>
      <c r="F27" s="18"/>
      <c r="J27" s="8"/>
    </row>
    <row r="28" spans="1:10" ht="12.75" customHeight="1" x14ac:dyDescent="0.2">
      <c r="A28" s="11">
        <v>25</v>
      </c>
      <c r="B28" s="11"/>
      <c r="C28" s="11"/>
      <c r="D28" s="12"/>
      <c r="E28" s="13"/>
      <c r="F28" s="18"/>
      <c r="J28" s="8"/>
    </row>
  </sheetData>
  <conditionalFormatting sqref="E4:E28">
    <cfRule type="expression" dxfId="1" priority="2">
      <formula>$F4=$H$4</formula>
    </cfRule>
  </conditionalFormatting>
  <conditionalFormatting sqref="A4:F28">
    <cfRule type="expression" dxfId="0" priority="3">
      <formula>AND($F4=$H$4,$E4&lt;&gt;"")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To Do List Double Click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oscar sanchez</cp:lastModifiedBy>
  <cp:lastPrinted>2015-09-08T04:26:46Z</cp:lastPrinted>
  <dcterms:created xsi:type="dcterms:W3CDTF">2015-09-07T14:42:03Z</dcterms:created>
  <dcterms:modified xsi:type="dcterms:W3CDTF">2016-11-04T10:37:19Z</dcterms:modified>
</cp:coreProperties>
</file>